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cythe crypto" sheetId="1" state="visible" r:id="rId2"/>
    <sheet name="phase 1" sheetId="2" state="visible" r:id="rId3"/>
    <sheet name="value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<sst xmlns="http://schemas.openxmlformats.org/spreadsheetml/2006/main" count="108" uniqueCount="72">
  <si>
    <t xml:space="preserve">Account</t>
  </si>
  <si>
    <t xml:space="preserve">Standing Total</t>
  </si>
  <si>
    <t xml:space="preserve">% </t>
  </si>
  <si>
    <t xml:space="preserve">Savings</t>
  </si>
  <si>
    <t xml:space="preserve">Savings / Collapse</t>
  </si>
  <si>
    <t xml:space="preserve">Amount</t>
  </si>
  <si>
    <t xml:space="preserve">6 Divided By 7</t>
  </si>
  <si>
    <t xml:space="preserve">Budget</t>
  </si>
  <si>
    <t xml:space="preserve">Total</t>
  </si>
  <si>
    <t xml:space="preserve">Pieces</t>
  </si>
  <si>
    <t xml:space="preserve">Total Budget</t>
  </si>
  <si>
    <t xml:space="preserve">Spend</t>
  </si>
  <si>
    <t xml:space="preserve">Unbrella Budget</t>
  </si>
  <si>
    <t xml:space="preserve">Economy</t>
  </si>
  <si>
    <t xml:space="preserve">Market</t>
  </si>
  <si>
    <t xml:space="preserve">Cover</t>
  </si>
  <si>
    <t xml:space="preserve">Advancement</t>
  </si>
  <si>
    <t xml:space="preserve">Vault</t>
  </si>
  <si>
    <t xml:space="preserve">2 City Cover Start</t>
  </si>
  <si>
    <t xml:space="preserve">Collapse</t>
  </si>
  <si>
    <t xml:space="preserve">Citadel</t>
  </si>
  <si>
    <t xml:space="preserve">10 Cities Within</t>
  </si>
  <si>
    <t xml:space="preserve">Budget Total</t>
  </si>
  <si>
    <t xml:space="preserve">Template :</t>
  </si>
  <si>
    <t xml:space="preserve">Standard Understanding Levels</t>
  </si>
  <si>
    <t xml:space="preserve">Website : </t>
  </si>
  <si>
    <t xml:space="preserve">https://thezodiacorder.github.io/</t>
  </si>
  <si>
    <t xml:space="preserve">Blue Prient Cover Test</t>
  </si>
  <si>
    <t xml:space="preserve">Property Stollen From The Boy When Was Child</t>
  </si>
  <si>
    <t xml:space="preserve">What Boy Recive</t>
  </si>
  <si>
    <t xml:space="preserve">Slieght Of Hand #01</t>
  </si>
  <si>
    <t xml:space="preserve">On Sheet Value After Slieght Of Hand </t>
  </si>
  <si>
    <t xml:space="preserve">Starting</t>
  </si>
  <si>
    <t xml:space="preserve">Store Of Value</t>
  </si>
  <si>
    <t xml:space="preserve">Dont Sestroy Public Server</t>
  </si>
  <si>
    <t xml:space="preserve">Slieght Of Hand #02</t>
  </si>
  <si>
    <t xml:space="preserve">Choice #01</t>
  </si>
  <si>
    <t xml:space="preserve">Public Website = City Planning = Blue Printes = International Trade</t>
  </si>
  <si>
    <t xml:space="preserve">Slieght Of Hand #03</t>
  </si>
  <si>
    <t xml:space="preserve">Choice #02</t>
  </si>
  <si>
    <t xml:space="preserve">Slieght Of Hand #04</t>
  </si>
  <si>
    <t xml:space="preserve">Choice #03</t>
  </si>
  <si>
    <t xml:space="preserve">Losses Value To Keep Everyone Slient = Don’t Under Sell Some Even In Slieght Of Hand</t>
  </si>
  <si>
    <t xml:space="preserve">Masses Error </t>
  </si>
  <si>
    <t xml:space="preserve">Amount Mulitply</t>
  </si>
  <si>
    <t xml:space="preserve">Equation</t>
  </si>
  <si>
    <t xml:space="preserve">You Attack HIM On A Long Time</t>
  </si>
  <si>
    <t xml:space="preserve">Leading To Say You  ALL Got A Cut &amp; Made Him Feel Bad / You Don’t Know What You Did = The LAW Sold OUT</t>
  </si>
  <si>
    <t xml:space="preserve">Fact That Are Leading To This Calculation / Outsource / Cause &amp; Effect</t>
  </si>
  <si>
    <t xml:space="preserve">Scythe</t>
  </si>
  <si>
    <t xml:space="preserve">Dont Destroy Privat Share Holders Server</t>
  </si>
  <si>
    <t xml:space="preserve">Portable Website Website = War Machine Planning = Blue Printes = International Trade / Bridge / Black Market = Underground Bridge Reality</t>
  </si>
  <si>
    <t xml:space="preserve">Portable Website Website = War Machine  Planning = Blue Printes = International Trade / Bridge / Black Market = Underground Bridge Reality</t>
  </si>
  <si>
    <t xml:space="preserve">God Of War LAW</t>
  </si>
  <si>
    <t xml:space="preserve">Chain Dashboard</t>
  </si>
  <si>
    <t xml:space="preserve">Secret Lab Budget = Advance Medical / Robotics</t>
  </si>
  <si>
    <t xml:space="preserve">Secrecy / Slieght Of Hand</t>
  </si>
  <si>
    <t xml:space="preserve">Don’t Kill Tesserack</t>
  </si>
  <si>
    <t xml:space="preserve">Note : Don’t Destory Public Server = 1 Coin Is = 3 = Feed The People &amp; Public Enterprise = 3 Is = To 1 City = Private Sector For The Future = The People Will Think They Can Kill Him Here = Slieght Of Hand = Cause &amp; Effect = They Don’t SEE The System Or The WAR MACHINE </t>
  </si>
  <si>
    <t xml:space="preserve">Put Your Flag Here To Show Support For The Project</t>
  </si>
  <si>
    <t xml:space="preserve">Note : A Private Portable Store Of Value Is Being Created = Incase They Destory Public Server = Black Budget &amp; Spac &amp; Time Machine &amp; Cosmic Devices &amp; Bio – Lab = In Progress = WE Need The Public Sector To Come Onlin</t>
  </si>
  <si>
    <t xml:space="preserve">#01 COIN</t>
  </si>
  <si>
    <t xml:space="preserve">Finish</t>
  </si>
  <si>
    <t xml:space="preserve">SHARE</t>
  </si>
  <si>
    <t xml:space="preserve">#01</t>
  </si>
  <si>
    <t xml:space="preserve">Stable</t>
  </si>
  <si>
    <t xml:space="preserve">Death &amp; Rebirth Absorb</t>
  </si>
  <si>
    <t xml:space="preserve">Note : Scythe Private Budget Store Of Value Is The Books Levels To This War Machine Data Base [Private] = Must Absorb Trident To Cover People &amp; Growth &amp; Be Small Enough To Be Contained [7] Absorb To Repeat &amp; Keep Polulation Growth &amp; Keep Machine From Killing All = &amp; Cores Within It To Keep Them From Grapping Power = Galaxy System Isn’t What You Think = Warship / Space Warship / Space Extraction = Bring Back To Earth = Methord Robotics / Supersolider Repairer = Future Unknow Factors = Reason In The Name Of Science = MAN WE BURN PAPER ALOT = Less WE Say The Better = If Not Taken Litteraly Stay In Trident &amp; Wait For THE ONE’S GROUP TO TAKE IT UP = TRUTH = IT’S ON A CLOCK</t>
  </si>
  <si>
    <t xml:space="preserve">Note : The Black Budget Within The War Machine Include Saftey Net To Aborsb Mass &amp; War Machine To Keep Everyone Under One Roof = Swip The Rug From Under Your Feet = Eveyone Back In Line = Next Budget Include Repairs In Space &amp; Saftey Net For Dark Matter Project = It’s To A Point Were – A Mistake At That Level Can’t Be Understood Down Here = Starship BOOM ???? = Nuclear Fusion Reactor Expolsion = Medical Or Rewind Time ?????</t>
  </si>
  <si>
    <t xml:space="preserve">Private Servers = Make Bridge Of 3 For Sectons / Duplicate For Private Section + A 4 For Center Gather To Put Everyone Under One Bridge = So That The War Machine Doesn’t Sweep Through The Land Or Eat Its Own People To Grow It’s Nature [Curiosity Kill The CAT = Know A CAT Nature = You See Who IT Is Killing – This Is The Moster Class]= Now This Is 3 + 4 = Mstery 4 / 5 / 6 == === == You Know The Drill [No Dark Humour Wine Bottle Torture = Open Your Mouth JOR Breaker / Jörmungandr / Nordic / Rember The Punch Line ] = Don’t Hurt Kirill = Fund HIM [Job Well Done = Fair Even Thought About GOD OF WAR KILLING ALL] = Store Of Value = He Knows WAR MACHINE = Embraces ALL </t>
  </si>
  <si>
    <t xml:space="preserve">Moment Of Silence / VLAD STILL DRINKING = WE IN THE OLD WORLD PLANNED FOR CITIES = BABYLON = Tantrum / Tartarus</t>
  </si>
  <si>
    <t xml:space="preserve">Tartarus The WAR MACHINE Soldiers / MONSTER  Keeps Going WE LET HIM LOSE TO ADVANCE TECHNOLOGY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</si>
</sst>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R-1C09]\ #,##0.00;[RED][$R-1C09]\-#,##0.00"/>
    <numFmt numFmtId="166" formatCode="0.00%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32"/>
      <name val="Arial"/>
      <family val="2"/>
      <charset val="1"/>
    </font>
    <font>
      <sz val="10"/>
      <color rgb="FF0000FF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8000"/>
        <bgColor rgb="FFFF6600"/>
      </patternFill>
    </fill>
    <fill>
      <patternFill patternType="solid">
        <fgColor rgb="FF000000"/>
        <bgColor rgb="FF00330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2A6099"/>
        <bgColor rgb="FF666699"/>
      </patternFill>
    </fill>
    <fill>
      <patternFill patternType="solid">
        <fgColor rgb="FF81D41A"/>
        <bgColor rgb="FF969696"/>
      </patternFill>
    </fill>
    <fill>
      <patternFill patternType="solid">
        <fgColor rgb="FFFFFFFF"/>
        <bgColor rgb="FFFFFFCC"/>
      </patternFill>
    </fill>
    <fill>
      <patternFill patternType="solid">
        <fgColor rgb="FFFFBF00"/>
        <bgColor rgb="FFFF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8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9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763560</xdr:colOff>
      <xdr:row>18</xdr:row>
      <xdr:rowOff>47880</xdr:rowOff>
    </xdr:from>
    <xdr:to>
      <xdr:col>2</xdr:col>
      <xdr:colOff>478080</xdr:colOff>
      <xdr:row>26</xdr:row>
      <xdr:rowOff>87840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763560" y="2973960"/>
          <a:ext cx="1340280" cy="1340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723960</xdr:colOff>
      <xdr:row>9</xdr:row>
      <xdr:rowOff>0</xdr:rowOff>
    </xdr:from>
    <xdr:to>
      <xdr:col>2</xdr:col>
      <xdr:colOff>503640</xdr:colOff>
      <xdr:row>17</xdr:row>
      <xdr:rowOff>105120</xdr:rowOff>
    </xdr:to>
    <xdr:pic>
      <xdr:nvPicPr>
        <xdr:cNvPr id="1" name="Image 2" descr=""/>
        <xdr:cNvPicPr/>
      </xdr:nvPicPr>
      <xdr:blipFill>
        <a:blip r:embed="rId1"/>
        <a:stretch/>
      </xdr:blipFill>
      <xdr:spPr>
        <a:xfrm>
          <a:off x="723960" y="1463040"/>
          <a:ext cx="1405440" cy="14054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21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J20" activeCellId="0" sqref="J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21"/>
    <col collapsed="false" customWidth="true" hidden="false" outlineLevel="0" max="2" min="2" style="1" width="29.76"/>
    <col collapsed="false" customWidth="true" hidden="false" outlineLevel="0" max="3" min="3" style="1" width="30.87"/>
    <col collapsed="false" customWidth="true" hidden="false" outlineLevel="0" max="4" min="4" style="1" width="31.29"/>
    <col collapsed="false" customWidth="true" hidden="false" outlineLevel="0" max="5" min="5" style="1" width="31.57"/>
    <col collapsed="false" customWidth="true" hidden="false" outlineLevel="0" max="8" min="8" style="1" width="15.99"/>
    <col collapsed="false" customWidth="true" hidden="false" outlineLevel="0" max="9" min="9" style="1" width="35.05"/>
    <col collapsed="false" customWidth="true" hidden="false" outlineLevel="0" max="10" min="10" style="1" width="31.29"/>
  </cols>
  <sheetData>
    <row r="2" customFormat="false" ht="12.8" hidden="false" customHeight="false" outlineLevel="0" collapsed="false">
      <c r="A2" s="2" t="s">
        <v>0</v>
      </c>
      <c r="B2" s="3"/>
      <c r="C2" s="2" t="s">
        <v>1</v>
      </c>
      <c r="D2" s="2" t="s">
        <v>2</v>
      </c>
      <c r="E2" s="3" t="s">
        <v>3</v>
      </c>
      <c r="H2" s="4" t="s">
        <v>4</v>
      </c>
      <c r="I2" s="4"/>
      <c r="J2" s="4" t="s">
        <v>5</v>
      </c>
    </row>
    <row r="3" customFormat="false" ht="12.8" hidden="false" customHeight="false" outlineLevel="0" collapsed="false">
      <c r="A3" s="5"/>
      <c r="B3" s="6"/>
      <c r="C3" s="7" t="n">
        <v>7.2E+019</v>
      </c>
      <c r="D3" s="6"/>
      <c r="E3" s="6"/>
      <c r="H3" s="5"/>
      <c r="I3" s="5"/>
      <c r="J3" s="8" t="n">
        <f aca="false">D5</f>
        <v>7.2E+018</v>
      </c>
    </row>
    <row r="4" customFormat="false" ht="12.8" hidden="false" customHeight="false" outlineLevel="0" collapsed="false">
      <c r="A4" s="5"/>
      <c r="B4" s="6" t="n">
        <v>2</v>
      </c>
      <c r="C4" s="7" t="n">
        <f aca="false">C3/B4</f>
        <v>3.6E+019</v>
      </c>
      <c r="D4" s="6"/>
      <c r="E4" s="6"/>
    </row>
    <row r="5" customFormat="false" ht="12.8" hidden="false" customHeight="false" outlineLevel="0" collapsed="false">
      <c r="A5" s="5"/>
      <c r="B5" s="9" t="n">
        <v>0.2</v>
      </c>
      <c r="C5" s="6"/>
      <c r="D5" s="7" t="n">
        <f aca="false">C4*B5</f>
        <v>7.2E+018</v>
      </c>
      <c r="E5" s="6"/>
      <c r="H5" s="10" t="s">
        <v>6</v>
      </c>
      <c r="I5" s="6"/>
      <c r="J5" s="6" t="s">
        <v>5</v>
      </c>
    </row>
    <row r="6" customFormat="false" ht="12.8" hidden="false" customHeight="false" outlineLevel="0" collapsed="false">
      <c r="A6" s="5"/>
      <c r="B6" s="6"/>
      <c r="C6" s="7" t="n">
        <f aca="false">C4-D5</f>
        <v>2.88E+019</v>
      </c>
      <c r="D6" s="6"/>
      <c r="E6" s="6"/>
      <c r="H6" s="10" t="s">
        <v>7</v>
      </c>
      <c r="I6" s="6"/>
      <c r="J6" s="8" t="n">
        <f aca="false">C10</f>
        <v>3.08571428571429E+018</v>
      </c>
    </row>
    <row r="7" customFormat="false" ht="12.8" hidden="false" customHeight="false" outlineLevel="0" collapsed="false">
      <c r="A7" s="5"/>
      <c r="B7" s="6" t="n">
        <v>7</v>
      </c>
      <c r="C7" s="11" t="n">
        <f aca="false">C6/B7</f>
        <v>4.11428571428571E+018</v>
      </c>
      <c r="D7" s="12" t="s">
        <v>8</v>
      </c>
      <c r="E7" s="6"/>
      <c r="H7" s="5"/>
      <c r="I7" s="5"/>
      <c r="J7" s="5"/>
    </row>
    <row r="8" customFormat="false" ht="12.8" hidden="false" customHeight="false" outlineLevel="0" collapsed="false">
      <c r="A8" s="5"/>
      <c r="B8" s="5"/>
      <c r="C8" s="5"/>
      <c r="D8" s="5"/>
      <c r="E8" s="6"/>
      <c r="H8" s="6" t="n">
        <v>7</v>
      </c>
      <c r="I8" s="11" t="n">
        <f aca="false">C10/H8</f>
        <v>4.40816326530612E+017</v>
      </c>
      <c r="J8" s="6"/>
    </row>
    <row r="9" customFormat="false" ht="12.8" hidden="false" customHeight="false" outlineLevel="0" collapsed="false">
      <c r="A9" s="2" t="s">
        <v>9</v>
      </c>
      <c r="B9" s="6" t="n">
        <v>8</v>
      </c>
      <c r="C9" s="7" t="n">
        <f aca="false">C7/B9</f>
        <v>5.14285714285714E+017</v>
      </c>
      <c r="D9" s="13" t="n">
        <v>2</v>
      </c>
      <c r="E9" s="14" t="n">
        <f aca="false">C9*2</f>
        <v>1.02857142857143E+018</v>
      </c>
      <c r="H9" s="15" t="s">
        <v>10</v>
      </c>
      <c r="I9" s="15" t="s">
        <v>11</v>
      </c>
      <c r="J9" s="6"/>
    </row>
    <row r="10" customFormat="false" ht="12.8" hidden="false" customHeight="false" outlineLevel="0" collapsed="false">
      <c r="A10" s="5"/>
      <c r="B10" s="15" t="n">
        <v>6</v>
      </c>
      <c r="C10" s="11" t="n">
        <f aca="false">C9*B10</f>
        <v>3.08571428571429E+018</v>
      </c>
      <c r="D10" s="16" t="s">
        <v>8</v>
      </c>
      <c r="E10" s="6"/>
    </row>
    <row r="11" customFormat="false" ht="12.8" hidden="false" customHeight="false" outlineLevel="0" collapsed="false">
      <c r="A11" s="6"/>
      <c r="B11" s="6"/>
      <c r="C11" s="6"/>
      <c r="D11" s="6"/>
      <c r="E11" s="6"/>
      <c r="H11" s="17" t="s">
        <v>12</v>
      </c>
      <c r="I11" s="14" t="n">
        <f aca="false">C10</f>
        <v>3.08571428571429E+018</v>
      </c>
    </row>
    <row r="13" customFormat="false" ht="12.8" hidden="false" customHeight="false" outlineLevel="0" collapsed="false">
      <c r="A13" s="18" t="s">
        <v>13</v>
      </c>
      <c r="B13" s="18"/>
      <c r="C13" s="18" t="s">
        <v>14</v>
      </c>
      <c r="D13" s="18" t="s">
        <v>15</v>
      </c>
      <c r="E13" s="18" t="s">
        <v>16</v>
      </c>
      <c r="H13" s="19" t="s">
        <v>17</v>
      </c>
      <c r="I13" s="7" t="n">
        <f aca="false">C3</f>
        <v>7.2E+019</v>
      </c>
      <c r="J13" s="5"/>
    </row>
    <row r="14" customFormat="false" ht="12.8" hidden="false" customHeight="false" outlineLevel="0" collapsed="false">
      <c r="A14" s="20" t="s">
        <v>9</v>
      </c>
      <c r="B14" s="6"/>
      <c r="C14" s="6"/>
      <c r="D14" s="21" t="s">
        <v>18</v>
      </c>
      <c r="E14" s="22" t="n">
        <f aca="false">E9</f>
        <v>1.02857142857143E+018</v>
      </c>
      <c r="H14" s="19" t="s">
        <v>19</v>
      </c>
      <c r="I14" s="7" t="n">
        <f aca="false">D5</f>
        <v>7.2E+018</v>
      </c>
      <c r="J14" s="5"/>
    </row>
    <row r="15" customFormat="false" ht="12.8" hidden="false" customHeight="false" outlineLevel="0" collapsed="false">
      <c r="A15" s="4" t="n">
        <v>10</v>
      </c>
      <c r="B15" s="23" t="n">
        <f aca="false">I8/A15</f>
        <v>44081632653061200</v>
      </c>
      <c r="C15" s="6"/>
      <c r="D15" s="6"/>
      <c r="E15" s="6"/>
      <c r="H15" s="5"/>
      <c r="I15" s="5"/>
      <c r="J15" s="5"/>
    </row>
    <row r="16" customFormat="false" ht="12.8" hidden="false" customHeight="false" outlineLevel="0" collapsed="false">
      <c r="A16" s="5"/>
      <c r="B16" s="24" t="n">
        <v>0.4</v>
      </c>
      <c r="C16" s="23" t="n">
        <f aca="false">B15*B16</f>
        <v>17632653061224500</v>
      </c>
      <c r="D16" s="6"/>
      <c r="E16" s="6"/>
      <c r="H16" s="15" t="s">
        <v>20</v>
      </c>
      <c r="I16" s="7" t="n">
        <f aca="false">C10</f>
        <v>3.08571428571429E+018</v>
      </c>
      <c r="J16" s="6"/>
    </row>
    <row r="17" customFormat="false" ht="12.8" hidden="false" customHeight="false" outlineLevel="0" collapsed="false">
      <c r="A17" s="5"/>
      <c r="B17" s="5"/>
      <c r="C17" s="24" t="n">
        <v>0.3</v>
      </c>
      <c r="D17" s="23" t="n">
        <f aca="false">B15*C17</f>
        <v>13224489795918400</v>
      </c>
      <c r="E17" s="6"/>
      <c r="H17" s="6"/>
      <c r="I17" s="6" t="s">
        <v>21</v>
      </c>
      <c r="J17" s="6"/>
    </row>
    <row r="18" customFormat="false" ht="12.8" hidden="false" customHeight="false" outlineLevel="0" collapsed="false">
      <c r="A18" s="5"/>
      <c r="B18" s="5"/>
      <c r="C18" s="5"/>
      <c r="D18" s="24" t="n">
        <v>0.3</v>
      </c>
      <c r="E18" s="23" t="n">
        <f aca="false">B15*D18</f>
        <v>13224489795918400</v>
      </c>
      <c r="H18" s="17" t="s">
        <v>13</v>
      </c>
      <c r="I18" s="6" t="s">
        <v>22</v>
      </c>
      <c r="J18" s="23" t="n">
        <f aca="false">B15</f>
        <v>44081632653061200</v>
      </c>
    </row>
    <row r="20" customFormat="false" ht="12.8" hidden="false" customHeight="false" outlineLevel="0" collapsed="false">
      <c r="A20" s="25" t="s">
        <v>23</v>
      </c>
      <c r="B20" s="26"/>
      <c r="C20" s="27" t="s">
        <v>24</v>
      </c>
      <c r="D20" s="27"/>
      <c r="E20" s="27"/>
    </row>
    <row r="21" customFormat="false" ht="12.8" hidden="false" customHeight="false" outlineLevel="0" collapsed="false">
      <c r="A21" s="25" t="s">
        <v>25</v>
      </c>
      <c r="B21" s="26"/>
      <c r="C21" s="27" t="s">
        <v>26</v>
      </c>
      <c r="D21" s="27"/>
      <c r="E21" s="27"/>
    </row>
  </sheetData>
  <mergeCells count="2">
    <mergeCell ref="C20:E20"/>
    <mergeCell ref="C21:E2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11.53515625" defaultRowHeight="12.8" zeroHeight="false" outlineLevelRow="0" outlineLevelCol="0"/>
  <cols>
    <col collapsed="false" customWidth="true" hidden="false" outlineLevel="0" max="3" min="3" style="1" width="14.46"/>
    <col collapsed="false" customWidth="true" hidden="false" outlineLevel="0" max="7" min="7" style="1" width="20.03"/>
    <col collapsed="false" customWidth="true" hidden="false" outlineLevel="0" max="8" min="8" style="1" width="22.53"/>
    <col collapsed="false" customWidth="true" hidden="false" outlineLevel="0" max="11" min="11" style="1" width="24.2"/>
    <col collapsed="false" customWidth="true" hidden="false" outlineLevel="0" max="12" min="12" style="1" width="35.89"/>
    <col collapsed="false" customWidth="true" hidden="false" outlineLevel="0" max="15" min="15" style="1" width="26.42"/>
    <col collapsed="false" customWidth="true" hidden="false" outlineLevel="0" max="17" min="17" style="1" width="19.75"/>
  </cols>
  <sheetData>
    <row r="1" customFormat="false" ht="12.8" hidden="false" customHeight="false" outlineLevel="0" collapsed="false">
      <c r="A1" s="28" t="s">
        <v>27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Q1" s="29" t="s">
        <v>28</v>
      </c>
      <c r="R1" s="29"/>
      <c r="S1" s="29"/>
      <c r="T1" s="29"/>
      <c r="U1" s="30" t="s">
        <v>29</v>
      </c>
      <c r="V1" s="30"/>
      <c r="W1" s="31" t="n">
        <v>8000000</v>
      </c>
      <c r="X1" s="31"/>
      <c r="Y1" s="31"/>
      <c r="Z1" s="31"/>
    </row>
    <row r="2" customFormat="false" ht="12.8" hidden="false" customHeight="false" outlineLevel="0" collapsed="false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Q2" s="15" t="s">
        <v>30</v>
      </c>
      <c r="R2" s="32" t="n">
        <v>1000000</v>
      </c>
      <c r="S2" s="32"/>
      <c r="T2" s="32"/>
      <c r="U2" s="33" t="n">
        <v>100000</v>
      </c>
      <c r="V2" s="33"/>
      <c r="W2" s="31" t="s">
        <v>31</v>
      </c>
      <c r="X2" s="31"/>
      <c r="Y2" s="31"/>
      <c r="Z2" s="31"/>
    </row>
    <row r="3" customFormat="false" ht="12.8" hidden="false" customHeight="false" outlineLevel="0" collapsed="false">
      <c r="A3" s="5"/>
      <c r="B3" s="34" t="s">
        <v>32</v>
      </c>
      <c r="C3" s="34"/>
      <c r="D3" s="5"/>
      <c r="E3" s="34" t="s">
        <v>33</v>
      </c>
      <c r="F3" s="34"/>
      <c r="G3" s="4" t="s">
        <v>34</v>
      </c>
      <c r="H3" s="4"/>
      <c r="I3" s="5"/>
      <c r="J3" s="5"/>
      <c r="K3" s="5"/>
      <c r="L3" s="5"/>
      <c r="M3" s="5"/>
      <c r="N3" s="5"/>
      <c r="O3" s="5"/>
      <c r="Q3" s="15" t="s">
        <v>35</v>
      </c>
      <c r="R3" s="32" t="n">
        <v>25000000</v>
      </c>
      <c r="S3" s="32"/>
      <c r="T3" s="32"/>
      <c r="U3" s="33"/>
      <c r="V3" s="33"/>
      <c r="W3" s="35"/>
      <c r="X3" s="35"/>
      <c r="Y3" s="35"/>
      <c r="Z3" s="35"/>
    </row>
    <row r="4" customFormat="false" ht="12.8" hidden="false" customHeight="false" outlineLevel="0" collapsed="false">
      <c r="A4" s="36" t="s">
        <v>36</v>
      </c>
      <c r="B4" s="37" t="n">
        <v>44081632653061200</v>
      </c>
      <c r="C4" s="37"/>
      <c r="D4" s="5"/>
      <c r="E4" s="38" t="n">
        <v>7000000</v>
      </c>
      <c r="F4" s="38"/>
      <c r="G4" s="39" t="n">
        <f aca="false">B4*E4</f>
        <v>3.08571428571428E+023</v>
      </c>
      <c r="H4" s="39"/>
      <c r="I4" s="30" t="s">
        <v>37</v>
      </c>
      <c r="J4" s="30"/>
      <c r="K4" s="30"/>
      <c r="L4" s="30"/>
      <c r="M4" s="30"/>
      <c r="N4" s="30"/>
      <c r="O4" s="30"/>
      <c r="Q4" s="15" t="s">
        <v>38</v>
      </c>
      <c r="R4" s="32" t="n">
        <v>50000000</v>
      </c>
      <c r="S4" s="32"/>
      <c r="T4" s="32"/>
      <c r="U4" s="33"/>
      <c r="V4" s="33"/>
      <c r="W4" s="35"/>
      <c r="X4" s="35"/>
      <c r="Y4" s="35"/>
      <c r="Z4" s="35"/>
    </row>
    <row r="5" customFormat="false" ht="12.8" hidden="false" customHeight="false" outlineLevel="0" collapsed="false">
      <c r="A5" s="36" t="s">
        <v>39</v>
      </c>
      <c r="B5" s="37" t="n">
        <v>44081632653061200</v>
      </c>
      <c r="C5" s="37"/>
      <c r="D5" s="5"/>
      <c r="E5" s="38" t="n">
        <v>7000000000</v>
      </c>
      <c r="F5" s="38"/>
      <c r="G5" s="39" t="n">
        <f aca="false">B5*E5</f>
        <v>3.08571428571428E+026</v>
      </c>
      <c r="H5" s="39"/>
      <c r="I5" s="30" t="s">
        <v>37</v>
      </c>
      <c r="J5" s="30"/>
      <c r="K5" s="30"/>
      <c r="L5" s="30"/>
      <c r="M5" s="30"/>
      <c r="N5" s="30"/>
      <c r="O5" s="30"/>
      <c r="Q5" s="15" t="s">
        <v>40</v>
      </c>
      <c r="R5" s="32" t="n">
        <v>100000000000</v>
      </c>
      <c r="S5" s="32"/>
      <c r="T5" s="32"/>
      <c r="U5" s="33"/>
      <c r="V5" s="33"/>
      <c r="W5" s="5"/>
      <c r="X5" s="5"/>
      <c r="Y5" s="5"/>
      <c r="Z5" s="5"/>
    </row>
    <row r="6" customFormat="false" ht="12.8" hidden="false" customHeight="true" outlineLevel="0" collapsed="false">
      <c r="A6" s="36" t="s">
        <v>41</v>
      </c>
      <c r="B6" s="37" t="n">
        <v>44081632653061200</v>
      </c>
      <c r="C6" s="37"/>
      <c r="D6" s="5"/>
      <c r="E6" s="38" t="n">
        <v>7000000000000</v>
      </c>
      <c r="F6" s="38"/>
      <c r="G6" s="39" t="n">
        <f aca="false">B6*E6</f>
        <v>3.08571428571428E+029</v>
      </c>
      <c r="H6" s="39"/>
      <c r="I6" s="30" t="s">
        <v>37</v>
      </c>
      <c r="J6" s="30"/>
      <c r="K6" s="30"/>
      <c r="L6" s="30"/>
      <c r="M6" s="30"/>
      <c r="N6" s="30"/>
      <c r="O6" s="30"/>
      <c r="Q6" s="40" t="s">
        <v>42</v>
      </c>
      <c r="R6" s="40"/>
      <c r="S6" s="40"/>
      <c r="T6" s="40"/>
      <c r="U6" s="41" t="s">
        <v>43</v>
      </c>
      <c r="V6" s="41"/>
      <c r="W6" s="5"/>
      <c r="X6" s="5"/>
      <c r="Y6" s="5"/>
      <c r="Z6" s="5"/>
    </row>
    <row r="7" customFormat="false" ht="12.8" hidden="false" customHeight="true" outlineLevel="0" collapsed="false">
      <c r="A7" s="42"/>
      <c r="B7" s="20" t="s">
        <v>44</v>
      </c>
      <c r="C7" s="20"/>
      <c r="D7" s="29" t="s">
        <v>45</v>
      </c>
      <c r="E7" s="20" t="s">
        <v>33</v>
      </c>
      <c r="F7" s="20"/>
      <c r="G7" s="42"/>
      <c r="H7" s="42"/>
      <c r="I7" s="5"/>
      <c r="J7" s="5"/>
      <c r="K7" s="5"/>
      <c r="L7" s="5"/>
      <c r="M7" s="5"/>
      <c r="N7" s="5"/>
      <c r="O7" s="5"/>
      <c r="Q7" s="40"/>
      <c r="R7" s="40"/>
      <c r="S7" s="40"/>
      <c r="T7" s="40"/>
      <c r="U7" s="43" t="s">
        <v>46</v>
      </c>
      <c r="V7" s="43"/>
      <c r="W7" s="44" t="s">
        <v>47</v>
      </c>
      <c r="X7" s="44"/>
      <c r="Y7" s="44"/>
      <c r="Z7" s="44"/>
    </row>
    <row r="8" customFormat="false" ht="12.8" hidden="false" customHeight="false" outlineLevel="0" collapsed="false">
      <c r="A8" s="42"/>
      <c r="B8" s="42"/>
      <c r="C8" s="42"/>
      <c r="D8" s="42"/>
      <c r="E8" s="42"/>
      <c r="F8" s="42"/>
      <c r="G8" s="42"/>
      <c r="H8" s="42"/>
      <c r="I8" s="5"/>
      <c r="J8" s="5"/>
      <c r="K8" s="5"/>
      <c r="L8" s="5"/>
      <c r="M8" s="5"/>
      <c r="N8" s="5"/>
      <c r="O8" s="5"/>
      <c r="Q8" s="40"/>
      <c r="R8" s="40"/>
      <c r="S8" s="40"/>
      <c r="T8" s="40"/>
      <c r="U8" s="43"/>
      <c r="V8" s="43"/>
      <c r="W8" s="44"/>
      <c r="X8" s="44"/>
      <c r="Y8" s="44"/>
      <c r="Z8" s="44"/>
    </row>
    <row r="9" customFormat="false" ht="12.8" hidden="false" customHeight="false" outlineLevel="0" collapsed="false">
      <c r="Q9" s="45" t="s">
        <v>48</v>
      </c>
      <c r="R9" s="45"/>
      <c r="S9" s="45"/>
      <c r="T9" s="45"/>
      <c r="U9" s="45"/>
      <c r="V9" s="45"/>
      <c r="W9" s="44"/>
      <c r="X9" s="44"/>
      <c r="Y9" s="44"/>
      <c r="Z9" s="44"/>
    </row>
    <row r="10" customFormat="false" ht="12.8" hidden="false" customHeight="false" outlineLevel="0" collapsed="false">
      <c r="A10" s="28" t="s">
        <v>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Q10" s="45"/>
      <c r="R10" s="45"/>
      <c r="S10" s="45"/>
      <c r="T10" s="45"/>
      <c r="U10" s="45"/>
      <c r="V10" s="45"/>
    </row>
    <row r="11" customFormat="false" ht="12.8" hidden="false" customHeight="false" outlineLevel="0" collapsed="false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</row>
    <row r="12" customFormat="false" ht="12.8" hidden="false" customHeight="false" outlineLevel="0" collapsed="false">
      <c r="A12" s="5"/>
      <c r="B12" s="34" t="s">
        <v>32</v>
      </c>
      <c r="C12" s="34"/>
      <c r="D12" s="5"/>
      <c r="E12" s="34" t="s">
        <v>33</v>
      </c>
      <c r="F12" s="34"/>
      <c r="G12" s="4" t="s">
        <v>50</v>
      </c>
      <c r="H12" s="4"/>
      <c r="I12" s="5"/>
      <c r="J12" s="5"/>
      <c r="K12" s="5"/>
      <c r="L12" s="5"/>
      <c r="M12" s="5"/>
      <c r="N12" s="5"/>
      <c r="O12" s="5"/>
    </row>
    <row r="13" customFormat="false" ht="12.8" hidden="false" customHeight="false" outlineLevel="0" collapsed="false">
      <c r="A13" s="36" t="s">
        <v>36</v>
      </c>
      <c r="B13" s="37" t="n">
        <v>44081632653061200</v>
      </c>
      <c r="C13" s="37"/>
      <c r="D13" s="5"/>
      <c r="E13" s="38" t="n">
        <v>7000000</v>
      </c>
      <c r="F13" s="38"/>
      <c r="G13" s="39" t="n">
        <f aca="false">B13*E13</f>
        <v>3.08571428571428E+023</v>
      </c>
      <c r="H13" s="39"/>
      <c r="I13" s="30" t="s">
        <v>51</v>
      </c>
      <c r="J13" s="30"/>
      <c r="K13" s="30"/>
      <c r="L13" s="30"/>
      <c r="M13" s="30"/>
      <c r="N13" s="30"/>
      <c r="O13" s="30"/>
    </row>
    <row r="14" customFormat="false" ht="12.8" hidden="false" customHeight="false" outlineLevel="0" collapsed="false">
      <c r="A14" s="36" t="s">
        <v>39</v>
      </c>
      <c r="B14" s="37" t="n">
        <v>44081632653061200</v>
      </c>
      <c r="C14" s="37"/>
      <c r="D14" s="5"/>
      <c r="E14" s="38" t="n">
        <v>7000000000</v>
      </c>
      <c r="F14" s="38"/>
      <c r="G14" s="39" t="n">
        <f aca="false">B14*E14</f>
        <v>3.08571428571428E+026</v>
      </c>
      <c r="H14" s="39"/>
      <c r="I14" s="30" t="s">
        <v>52</v>
      </c>
      <c r="J14" s="30"/>
      <c r="K14" s="30"/>
      <c r="L14" s="30"/>
      <c r="M14" s="30"/>
      <c r="N14" s="30"/>
      <c r="O14" s="30"/>
    </row>
    <row r="15" customFormat="false" ht="12.8" hidden="false" customHeight="false" outlineLevel="0" collapsed="false">
      <c r="A15" s="36" t="s">
        <v>41</v>
      </c>
      <c r="B15" s="37" t="n">
        <v>44081632653061200</v>
      </c>
      <c r="C15" s="37"/>
      <c r="D15" s="5"/>
      <c r="E15" s="38" t="n">
        <v>7000000000000</v>
      </c>
      <c r="F15" s="38"/>
      <c r="G15" s="39" t="n">
        <f aca="false">B15*E15</f>
        <v>3.08571428571428E+029</v>
      </c>
      <c r="H15" s="39"/>
      <c r="I15" s="30" t="s">
        <v>52</v>
      </c>
      <c r="J15" s="30"/>
      <c r="K15" s="30"/>
      <c r="L15" s="30"/>
      <c r="M15" s="30"/>
      <c r="N15" s="30"/>
      <c r="O15" s="30"/>
    </row>
    <row r="16" customFormat="false" ht="12.8" hidden="false" customHeight="false" outlineLevel="0" collapsed="false">
      <c r="A16" s="42"/>
      <c r="B16" s="20" t="s">
        <v>44</v>
      </c>
      <c r="C16" s="20"/>
      <c r="D16" s="29" t="s">
        <v>45</v>
      </c>
      <c r="E16" s="20" t="s">
        <v>33</v>
      </c>
      <c r="F16" s="20"/>
      <c r="G16" s="42"/>
      <c r="H16" s="46"/>
      <c r="I16" s="47" t="s">
        <v>53</v>
      </c>
      <c r="J16" s="47"/>
      <c r="K16" s="47"/>
      <c r="L16" s="48" t="s">
        <v>54</v>
      </c>
      <c r="M16" s="49" t="s">
        <v>55</v>
      </c>
      <c r="N16" s="49"/>
      <c r="O16" s="49"/>
    </row>
    <row r="17" customFormat="false" ht="12.8" hidden="false" customHeight="false" outlineLevel="0" collapsed="false">
      <c r="A17" s="42"/>
      <c r="B17" s="42"/>
      <c r="C17" s="42"/>
      <c r="D17" s="42"/>
      <c r="E17" s="42"/>
      <c r="F17" s="42"/>
      <c r="G17" s="42"/>
      <c r="H17" s="42"/>
      <c r="I17" s="47"/>
      <c r="J17" s="47"/>
      <c r="K17" s="47"/>
      <c r="L17" s="48" t="s">
        <v>56</v>
      </c>
      <c r="M17" s="49"/>
      <c r="N17" s="49"/>
      <c r="O17" s="49"/>
    </row>
    <row r="18" customFormat="false" ht="12.8" hidden="false" customHeight="false" outlineLevel="0" collapsed="false">
      <c r="F18" s="1"/>
      <c r="J18" s="1"/>
      <c r="K18" s="50" t="s">
        <v>57</v>
      </c>
      <c r="L18" s="50"/>
      <c r="M18" s="50"/>
    </row>
    <row r="19" customFormat="false" ht="12.8" hidden="false" customHeight="true" outlineLevel="0" collapsed="false">
      <c r="A19" s="51"/>
      <c r="B19" s="51"/>
      <c r="C19" s="51"/>
      <c r="D19" s="51"/>
      <c r="E19" s="52" t="s">
        <v>58</v>
      </c>
      <c r="F19" s="52"/>
      <c r="G19" s="52"/>
      <c r="H19" s="52"/>
      <c r="I19" s="52"/>
      <c r="J19" s="52"/>
      <c r="K19" s="52"/>
      <c r="L19" s="52"/>
      <c r="M19" s="52"/>
      <c r="N19" s="52"/>
      <c r="O19" s="52"/>
      <c r="Q19" s="53" t="s">
        <v>59</v>
      </c>
    </row>
    <row r="20" customFormat="false" ht="12.8" hidden="false" customHeight="false" outlineLevel="0" collapsed="false">
      <c r="A20" s="51"/>
      <c r="B20" s="51"/>
      <c r="C20" s="51"/>
      <c r="D20" s="51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Q20" s="53"/>
    </row>
    <row r="21" customFormat="false" ht="12.8" hidden="false" customHeight="false" outlineLevel="0" collapsed="false">
      <c r="A21" s="51"/>
      <c r="B21" s="51"/>
      <c r="C21" s="51"/>
      <c r="D21" s="51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Q21" s="53"/>
    </row>
    <row r="22" customFormat="false" ht="12.8" hidden="false" customHeight="false" outlineLevel="0" collapsed="false">
      <c r="A22" s="51"/>
      <c r="B22" s="51"/>
      <c r="C22" s="51"/>
      <c r="D22" s="51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Q22" s="53"/>
    </row>
    <row r="23" customFormat="false" ht="12.8" hidden="false" customHeight="false" outlineLevel="0" collapsed="false">
      <c r="A23" s="51"/>
      <c r="B23" s="51"/>
      <c r="C23" s="51"/>
      <c r="D23" s="51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Q23" s="53"/>
    </row>
    <row r="24" customFormat="false" ht="12.8" hidden="false" customHeight="true" outlineLevel="0" collapsed="false">
      <c r="A24" s="51"/>
      <c r="B24" s="51"/>
      <c r="C24" s="51"/>
      <c r="D24" s="51"/>
      <c r="E24" s="52" t="s">
        <v>60</v>
      </c>
      <c r="F24" s="52"/>
      <c r="G24" s="52"/>
      <c r="H24" s="52"/>
      <c r="I24" s="52"/>
      <c r="J24" s="52"/>
      <c r="K24" s="52"/>
      <c r="L24" s="52"/>
      <c r="M24" s="52"/>
      <c r="N24" s="52"/>
      <c r="O24" s="52"/>
    </row>
    <row r="25" customFormat="false" ht="12.8" hidden="false" customHeight="false" outlineLevel="0" collapsed="false">
      <c r="A25" s="51"/>
      <c r="B25" s="51"/>
      <c r="C25" s="51"/>
      <c r="D25" s="51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</row>
    <row r="26" customFormat="false" ht="12.8" hidden="false" customHeight="false" outlineLevel="0" collapsed="false">
      <c r="A26" s="51"/>
      <c r="B26" s="51"/>
      <c r="C26" s="51"/>
      <c r="D26" s="51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</row>
    <row r="27" customFormat="false" ht="12.8" hidden="false" customHeight="false" outlineLevel="0" collapsed="false">
      <c r="A27" s="51"/>
      <c r="B27" s="51"/>
      <c r="C27" s="51"/>
      <c r="D27" s="51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</row>
  </sheetData>
  <mergeCells count="58">
    <mergeCell ref="A1:O2"/>
    <mergeCell ref="Q1:T1"/>
    <mergeCell ref="U1:V1"/>
    <mergeCell ref="W1:Z1"/>
    <mergeCell ref="R2:T2"/>
    <mergeCell ref="U2:V5"/>
    <mergeCell ref="W2:Z2"/>
    <mergeCell ref="B3:C3"/>
    <mergeCell ref="E3:F3"/>
    <mergeCell ref="G3:H3"/>
    <mergeCell ref="R3:T3"/>
    <mergeCell ref="W3:Z4"/>
    <mergeCell ref="B4:C4"/>
    <mergeCell ref="E4:F4"/>
    <mergeCell ref="G4:H4"/>
    <mergeCell ref="I4:O4"/>
    <mergeCell ref="R4:T4"/>
    <mergeCell ref="B5:C5"/>
    <mergeCell ref="E5:F5"/>
    <mergeCell ref="G5:H5"/>
    <mergeCell ref="I5:O5"/>
    <mergeCell ref="R5:T5"/>
    <mergeCell ref="B6:C6"/>
    <mergeCell ref="E6:F6"/>
    <mergeCell ref="G6:H6"/>
    <mergeCell ref="I6:O6"/>
    <mergeCell ref="Q6:T8"/>
    <mergeCell ref="U6:V6"/>
    <mergeCell ref="B7:C7"/>
    <mergeCell ref="E7:F7"/>
    <mergeCell ref="U7:V8"/>
    <mergeCell ref="W7:Z9"/>
    <mergeCell ref="Q9:V10"/>
    <mergeCell ref="A10:O11"/>
    <mergeCell ref="B12:C12"/>
    <mergeCell ref="E12:F12"/>
    <mergeCell ref="G12:H12"/>
    <mergeCell ref="B13:C13"/>
    <mergeCell ref="E13:F13"/>
    <mergeCell ref="G13:H13"/>
    <mergeCell ref="I13:O13"/>
    <mergeCell ref="B14:C14"/>
    <mergeCell ref="E14:F14"/>
    <mergeCell ref="G14:H14"/>
    <mergeCell ref="I14:O14"/>
    <mergeCell ref="B15:C15"/>
    <mergeCell ref="E15:F15"/>
    <mergeCell ref="G15:H15"/>
    <mergeCell ref="I15:O15"/>
    <mergeCell ref="B16:C16"/>
    <mergeCell ref="E16:F16"/>
    <mergeCell ref="I16:K17"/>
    <mergeCell ref="M16:O17"/>
    <mergeCell ref="K18:M18"/>
    <mergeCell ref="A19:D27"/>
    <mergeCell ref="E19:O23"/>
    <mergeCell ref="Q19:Q23"/>
    <mergeCell ref="E24:O2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11.53515625" defaultRowHeight="12.8" zeroHeight="false" outlineLevelRow="0" outlineLevelCol="0"/>
  <cols>
    <col collapsed="false" customWidth="true" hidden="false" outlineLevel="0" max="3" min="3" style="1" width="21.12"/>
    <col collapsed="false" customWidth="true" hidden="false" outlineLevel="0" max="6" min="6" style="1" width="14.18"/>
    <col collapsed="false" customWidth="true" hidden="false" outlineLevel="0" max="8" min="8" style="1" width="29.49"/>
    <col collapsed="false" customWidth="true" hidden="false" outlineLevel="0" max="10" min="10" style="1" width="17.8"/>
    <col collapsed="false" customWidth="true" hidden="false" outlineLevel="0" max="12" min="12" style="1" width="34.91"/>
    <col collapsed="false" customWidth="true" hidden="false" outlineLevel="0" max="15" min="15" style="1" width="26.98"/>
  </cols>
  <sheetData>
    <row r="1" customFormat="false" ht="12.8" hidden="false" customHeight="false" outlineLevel="0" collapsed="false">
      <c r="A1" s="28" t="s">
        <v>49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customFormat="false" ht="12.8" hidden="false" customHeight="false" outlineLevel="0" collapsed="false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customFormat="false" ht="12.8" hidden="false" customHeight="false" outlineLevel="0" collapsed="false">
      <c r="A3" s="5"/>
      <c r="B3" s="34" t="s">
        <v>32</v>
      </c>
      <c r="C3" s="34"/>
      <c r="D3" s="5"/>
      <c r="E3" s="34" t="s">
        <v>33</v>
      </c>
      <c r="F3" s="34"/>
      <c r="G3" s="4" t="s">
        <v>50</v>
      </c>
      <c r="H3" s="4"/>
      <c r="I3" s="5"/>
      <c r="J3" s="5"/>
      <c r="K3" s="5"/>
      <c r="L3" s="5"/>
      <c r="M3" s="5"/>
      <c r="N3" s="5"/>
      <c r="O3" s="5"/>
    </row>
    <row r="4" customFormat="false" ht="12.8" hidden="false" customHeight="false" outlineLevel="0" collapsed="false">
      <c r="A4" s="36" t="s">
        <v>36</v>
      </c>
      <c r="B4" s="37" t="n">
        <v>44081632653061200</v>
      </c>
      <c r="C4" s="37"/>
      <c r="D4" s="5"/>
      <c r="E4" s="38" t="n">
        <v>7000000</v>
      </c>
      <c r="F4" s="38"/>
      <c r="G4" s="39" t="n">
        <f aca="false">B4*E4</f>
        <v>3.08571428571428E+023</v>
      </c>
      <c r="H4" s="39"/>
      <c r="I4" s="30" t="s">
        <v>51</v>
      </c>
      <c r="J4" s="30"/>
      <c r="K4" s="30"/>
      <c r="L4" s="30"/>
      <c r="M4" s="30"/>
      <c r="N4" s="30"/>
      <c r="O4" s="30"/>
    </row>
    <row r="5" customFormat="false" ht="12.8" hidden="false" customHeight="false" outlineLevel="0" collapsed="false">
      <c r="A5" s="36" t="s">
        <v>39</v>
      </c>
      <c r="B5" s="37" t="n">
        <v>44081632653061200</v>
      </c>
      <c r="C5" s="37"/>
      <c r="D5" s="5"/>
      <c r="E5" s="38" t="n">
        <v>7000000000</v>
      </c>
      <c r="F5" s="38"/>
      <c r="G5" s="39" t="n">
        <f aca="false">B5*E5</f>
        <v>3.08571428571428E+026</v>
      </c>
      <c r="H5" s="39"/>
      <c r="I5" s="30" t="s">
        <v>52</v>
      </c>
      <c r="J5" s="30"/>
      <c r="K5" s="30"/>
      <c r="L5" s="30"/>
      <c r="M5" s="30"/>
      <c r="N5" s="30"/>
      <c r="O5" s="30"/>
    </row>
    <row r="6" customFormat="false" ht="12.8" hidden="false" customHeight="false" outlineLevel="0" collapsed="false">
      <c r="A6" s="36" t="s">
        <v>41</v>
      </c>
      <c r="B6" s="37" t="n">
        <v>44081632653061200</v>
      </c>
      <c r="C6" s="37"/>
      <c r="D6" s="5"/>
      <c r="E6" s="38" t="n">
        <v>7000000000000</v>
      </c>
      <c r="F6" s="38"/>
      <c r="G6" s="39" t="n">
        <f aca="false">B6*E6</f>
        <v>3.08571428571428E+029</v>
      </c>
      <c r="H6" s="39"/>
      <c r="I6" s="30" t="s">
        <v>52</v>
      </c>
      <c r="J6" s="30"/>
      <c r="K6" s="30"/>
      <c r="L6" s="30"/>
      <c r="M6" s="30"/>
      <c r="N6" s="30"/>
      <c r="O6" s="30"/>
    </row>
    <row r="7" customFormat="false" ht="12.8" hidden="false" customHeight="false" outlineLevel="0" collapsed="false">
      <c r="A7" s="42"/>
      <c r="B7" s="20" t="s">
        <v>44</v>
      </c>
      <c r="C7" s="20"/>
      <c r="D7" s="29" t="s">
        <v>45</v>
      </c>
      <c r="E7" s="20" t="s">
        <v>33</v>
      </c>
      <c r="F7" s="20"/>
      <c r="G7" s="42" t="s">
        <v>61</v>
      </c>
      <c r="H7" s="46" t="n">
        <f aca="false">G6/B6</f>
        <v>7000000000000</v>
      </c>
      <c r="I7" s="47" t="s">
        <v>53</v>
      </c>
      <c r="J7" s="47"/>
      <c r="K7" s="47"/>
      <c r="L7" s="48" t="s">
        <v>54</v>
      </c>
      <c r="M7" s="49" t="s">
        <v>55</v>
      </c>
      <c r="N7" s="49"/>
      <c r="O7" s="49"/>
    </row>
    <row r="8" customFormat="false" ht="12.8" hidden="false" customHeight="false" outlineLevel="0" collapsed="false">
      <c r="A8" s="42" t="s">
        <v>62</v>
      </c>
      <c r="B8" s="42" t="s">
        <v>63</v>
      </c>
      <c r="C8" s="42" t="s">
        <v>41</v>
      </c>
      <c r="D8" s="42" t="s">
        <v>17</v>
      </c>
      <c r="E8" s="42" t="s">
        <v>64</v>
      </c>
      <c r="F8" s="42" t="s">
        <v>65</v>
      </c>
      <c r="G8" s="42"/>
      <c r="H8" s="42" t="s">
        <v>66</v>
      </c>
      <c r="I8" s="47"/>
      <c r="J8" s="47"/>
      <c r="K8" s="47"/>
      <c r="L8" s="48" t="s">
        <v>56</v>
      </c>
      <c r="M8" s="49"/>
      <c r="N8" s="49"/>
      <c r="O8" s="49"/>
    </row>
    <row r="9" customFormat="false" ht="12.8" hidden="false" customHeight="false" outlineLevel="0" collapsed="false">
      <c r="G9" s="1"/>
      <c r="K9" s="50" t="s">
        <v>57</v>
      </c>
      <c r="L9" s="50"/>
      <c r="M9" s="50"/>
    </row>
    <row r="10" customFormat="false" ht="12.8" hidden="false" customHeight="true" outlineLevel="0" collapsed="false">
      <c r="A10" s="51"/>
      <c r="B10" s="51"/>
      <c r="C10" s="51"/>
      <c r="D10" s="51"/>
      <c r="E10" s="52" t="s">
        <v>67</v>
      </c>
      <c r="F10" s="52"/>
      <c r="G10" s="52"/>
      <c r="H10" s="52"/>
      <c r="I10" s="52"/>
      <c r="J10" s="52"/>
      <c r="K10" s="52"/>
      <c r="L10" s="52"/>
      <c r="M10" s="52"/>
      <c r="N10" s="52"/>
      <c r="O10" s="52"/>
    </row>
    <row r="11" customFormat="false" ht="12.8" hidden="false" customHeight="false" outlineLevel="0" collapsed="false">
      <c r="A11" s="51"/>
      <c r="B11" s="51"/>
      <c r="C11" s="51"/>
      <c r="D11" s="51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</row>
    <row r="12" customFormat="false" ht="12.8" hidden="false" customHeight="false" outlineLevel="0" collapsed="false">
      <c r="A12" s="51"/>
      <c r="B12" s="51"/>
      <c r="C12" s="51"/>
      <c r="D12" s="51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</row>
    <row r="13" customFormat="false" ht="12.8" hidden="false" customHeight="false" outlineLevel="0" collapsed="false">
      <c r="A13" s="51"/>
      <c r="B13" s="51"/>
      <c r="C13" s="51"/>
      <c r="D13" s="51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</row>
    <row r="14" customFormat="false" ht="12.8" hidden="false" customHeight="false" outlineLevel="0" collapsed="false">
      <c r="A14" s="51"/>
      <c r="B14" s="51"/>
      <c r="C14" s="51"/>
      <c r="D14" s="51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</row>
    <row r="15" customFormat="false" ht="12.8" hidden="false" customHeight="true" outlineLevel="0" collapsed="false">
      <c r="A15" s="51"/>
      <c r="B15" s="51"/>
      <c r="C15" s="51"/>
      <c r="D15" s="51"/>
      <c r="E15" s="52" t="s">
        <v>68</v>
      </c>
      <c r="F15" s="52"/>
      <c r="G15" s="52"/>
      <c r="H15" s="52"/>
      <c r="I15" s="52"/>
      <c r="J15" s="52"/>
      <c r="K15" s="52"/>
      <c r="L15" s="52"/>
      <c r="M15" s="52"/>
      <c r="N15" s="52"/>
      <c r="O15" s="52"/>
    </row>
    <row r="16" customFormat="false" ht="12.8" hidden="false" customHeight="false" outlineLevel="0" collapsed="false">
      <c r="A16" s="51"/>
      <c r="B16" s="51"/>
      <c r="C16" s="51"/>
      <c r="D16" s="51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</row>
    <row r="17" customFormat="false" ht="12.8" hidden="false" customHeight="false" outlineLevel="0" collapsed="false">
      <c r="A17" s="51"/>
      <c r="B17" s="51"/>
      <c r="C17" s="51"/>
      <c r="D17" s="51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</row>
    <row r="18" customFormat="false" ht="12.8" hidden="false" customHeight="false" outlineLevel="0" collapsed="false">
      <c r="A18" s="51"/>
      <c r="B18" s="51"/>
      <c r="C18" s="51"/>
      <c r="D18" s="51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</row>
    <row r="19" customFormat="false" ht="12.8" hidden="false" customHeight="true" outlineLevel="0" collapsed="false">
      <c r="A19" s="54" t="s">
        <v>69</v>
      </c>
      <c r="B19" s="54"/>
      <c r="C19" s="54"/>
      <c r="D19" s="54"/>
      <c r="E19" s="54"/>
      <c r="F19" s="54"/>
      <c r="G19" s="54"/>
      <c r="H19" s="54"/>
    </row>
    <row r="20" customFormat="false" ht="12.8" hidden="false" customHeight="true" outlineLevel="0" collapsed="false">
      <c r="A20" s="54"/>
      <c r="B20" s="54"/>
      <c r="C20" s="54"/>
      <c r="D20" s="54"/>
      <c r="E20" s="54"/>
      <c r="F20" s="54"/>
      <c r="G20" s="54"/>
      <c r="H20" s="54"/>
      <c r="J20" s="55" t="s">
        <v>70</v>
      </c>
      <c r="K20" s="55"/>
      <c r="M20" s="56" t="s">
        <v>71</v>
      </c>
      <c r="N20" s="56"/>
      <c r="O20" s="56"/>
    </row>
    <row r="21" customFormat="false" ht="12.8" hidden="false" customHeight="false" outlineLevel="0" collapsed="false">
      <c r="A21" s="54"/>
      <c r="B21" s="54"/>
      <c r="C21" s="54"/>
      <c r="D21" s="54"/>
      <c r="E21" s="54"/>
      <c r="F21" s="54"/>
      <c r="G21" s="54"/>
      <c r="H21" s="54"/>
      <c r="J21" s="55"/>
      <c r="K21" s="55"/>
      <c r="M21" s="56"/>
      <c r="N21" s="56"/>
      <c r="O21" s="56"/>
    </row>
    <row r="22" customFormat="false" ht="12.8" hidden="false" customHeight="false" outlineLevel="0" collapsed="false">
      <c r="A22" s="54"/>
      <c r="B22" s="54"/>
      <c r="C22" s="54"/>
      <c r="D22" s="54"/>
      <c r="E22" s="54"/>
      <c r="F22" s="54"/>
      <c r="G22" s="54"/>
      <c r="H22" s="54"/>
      <c r="J22" s="55"/>
      <c r="K22" s="55"/>
      <c r="M22" s="56"/>
      <c r="N22" s="56"/>
      <c r="O22" s="56"/>
    </row>
    <row r="23" customFormat="false" ht="12.8" hidden="false" customHeight="false" outlineLevel="0" collapsed="false">
      <c r="A23" s="54"/>
      <c r="B23" s="54"/>
      <c r="C23" s="54"/>
      <c r="D23" s="54"/>
      <c r="E23" s="54"/>
      <c r="F23" s="54"/>
      <c r="G23" s="54"/>
      <c r="H23" s="54"/>
      <c r="J23" s="55"/>
      <c r="K23" s="55"/>
      <c r="M23" s="56"/>
      <c r="N23" s="56"/>
      <c r="O23" s="56"/>
    </row>
    <row r="24" customFormat="false" ht="12.8" hidden="false" customHeight="false" outlineLevel="0" collapsed="false">
      <c r="A24" s="54"/>
      <c r="B24" s="54"/>
      <c r="C24" s="54"/>
      <c r="D24" s="54"/>
      <c r="E24" s="54"/>
      <c r="F24" s="54"/>
      <c r="G24" s="54"/>
      <c r="H24" s="54"/>
      <c r="J24" s="55"/>
      <c r="K24" s="55"/>
      <c r="M24" s="56"/>
      <c r="N24" s="56"/>
      <c r="O24" s="56"/>
    </row>
    <row r="25" customFormat="false" ht="12.8" hidden="false" customHeight="false" outlineLevel="0" collapsed="false">
      <c r="A25" s="54"/>
      <c r="B25" s="54"/>
      <c r="C25" s="54"/>
      <c r="D25" s="54"/>
      <c r="E25" s="54"/>
      <c r="F25" s="54"/>
      <c r="G25" s="54"/>
      <c r="H25" s="54"/>
    </row>
  </sheetData>
  <mergeCells count="27">
    <mergeCell ref="A1:O2"/>
    <mergeCell ref="B3:C3"/>
    <mergeCell ref="E3:F3"/>
    <mergeCell ref="G3:H3"/>
    <mergeCell ref="B4:C4"/>
    <mergeCell ref="E4:F4"/>
    <mergeCell ref="G4:H4"/>
    <mergeCell ref="I4:O4"/>
    <mergeCell ref="B5:C5"/>
    <mergeCell ref="E5:F5"/>
    <mergeCell ref="G5:H5"/>
    <mergeCell ref="I5:O5"/>
    <mergeCell ref="B6:C6"/>
    <mergeCell ref="E6:F6"/>
    <mergeCell ref="G6:H6"/>
    <mergeCell ref="I6:O6"/>
    <mergeCell ref="B7:C7"/>
    <mergeCell ref="E7:F7"/>
    <mergeCell ref="I7:K8"/>
    <mergeCell ref="M7:O8"/>
    <mergeCell ref="K9:M9"/>
    <mergeCell ref="A10:D18"/>
    <mergeCell ref="E10:O14"/>
    <mergeCell ref="E15:O18"/>
    <mergeCell ref="A19:H25"/>
    <mergeCell ref="J20:K24"/>
    <mergeCell ref="M20:O2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2024-07-16T02:04:16Z</dcterms:created>
  <dc:creator/>
  <dc:description/>
  <dc:language>en-ZA</dc:language>
  <cp:lastModifiedBy/>
  <dcterms:modified xsi:type="dcterms:W3CDTF">2024-08-24T19:15:38Z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